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iamaricella/Downloads/"/>
    </mc:Choice>
  </mc:AlternateContent>
  <xr:revisionPtr revIDLastSave="0" documentId="13_ncr:1_{1A36145D-DFD9-034D-9B50-8FED7837F563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Detail1" sheetId="4" r:id="rId1"/>
    <sheet name="Sheet1" sheetId="3" r:id="rId2"/>
    <sheet name="Bike Sales" sheetId="1" r:id="rId3"/>
    <sheet name="Sheet3" sheetId="6" r:id="rId4"/>
    <sheet name="SWITCH etc." sheetId="2" r:id="rId5"/>
  </sheets>
  <calcPr calcId="191029"/>
  <pivotCaches>
    <pivotCache cacheId="0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4" i="2" a="1"/>
  <c r="D4" i="2" s="1"/>
  <c r="D5" i="2" a="1"/>
  <c r="D5" i="2" s="1"/>
  <c r="D6" i="2" a="1"/>
  <c r="D6" i="2"/>
  <c r="D7" i="2" a="1"/>
  <c r="D7" i="2"/>
  <c r="D8" i="2" a="1"/>
  <c r="D8" i="2" s="1"/>
  <c r="D9" i="2" a="1"/>
  <c r="D9" i="2" s="1"/>
  <c r="D10" i="2" a="1"/>
  <c r="D10" i="2" s="1"/>
  <c r="D11" i="2" a="1"/>
  <c r="D11" i="2" s="1"/>
  <c r="D12" i="2" a="1"/>
  <c r="D12" i="2"/>
  <c r="D13" i="2" a="1"/>
  <c r="D13" i="2" s="1"/>
  <c r="D2" i="2" a="1"/>
  <c r="D2" i="2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<sst xmlns="http://schemas.openxmlformats.org/spreadsheetml/2006/main" count="1083" uniqueCount="176">
  <si>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</si>
  <si>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</si>
  <si>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</si>
  <si>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</si>
  <si>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</si>
  <si>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</si>
  <si>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</si>
  <si>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</si>
  <si>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</si>
  <si>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</si>
  <si>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</si>
  <si>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</si>
  <si>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</si>
  <si>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</si>
  <si>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</si>
  <si>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</si>
  <si>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</si>
  <si>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</si>
  <si>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</si>
  <si>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</si>
  <si>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</si>
  <si>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</si>
  <si>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</si>
  <si>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</si>
  <si>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</si>
  <si>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</si>
  <si>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</si>
  <si>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</si>
  <si>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</si>
  <si>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</si>
  <si>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</si>
  <si>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</si>
  <si>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</si>
  <si>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</si>
  <si>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</si>
  <si>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</si>
  <si>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</si>
  <si>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</si>
  <si>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</si>
  <si>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</si>
  <si>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</si>
  <si>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</si>
  <si>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</si>
  <si>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</si>
  <si>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</si>
  <si>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</si>
  <si>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</si>
  <si>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</si>
  <si>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</si>
  <si>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</si>
  <si>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</si>
  <si>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</si>
  <si>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</si>
  <si>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</si>
  <si>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</si>
  <si>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</si>
  <si>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</si>
  <si>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</si>
  <si>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</si>
  <si>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</si>
  <si>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</si>
  <si>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</si>
  <si>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</si>
  <si>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</si>
  <si>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</si>
  <si>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</si>
  <si>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</si>
  <si>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</si>
  <si>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</si>
  <si>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</si>
  <si>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</si>
  <si>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</si>
  <si>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</si>
  <si>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</si>
  <si>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</si>
  <si>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</si>
  <si>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</si>
  <si>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</si>
  <si>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</si>
  <si>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</si>
  <si>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</si>
  <si>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</si>
  <si>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</si>
  <si>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</si>
  <si>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</si>
  <si>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</si>
  <si>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</si>
  <si>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</si>
  <si>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</si>
  <si>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</si>
  <si>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</si>
  <si>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</si>
  <si>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</si>
  <si>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</si>
  <si>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</si>
  <si>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</si>
  <si>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</si>
  <si>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</si>
  <si>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</si>
  <si>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</si>
  <si>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</si>
  <si>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</si>
  <si>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</si>
  <si>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</si>
  <si>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</si>
  <si>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</si>
  <si>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</si>
  <si>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</si>
  <si>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</si>
  <si>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</si>
  <si>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</si>
  <si>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</si>
  <si>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</si>
  <si>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</si>
  <si>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</si>
  <si>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</si>
  <si>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</si>
  <si>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</si>
  <si>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</si>
  <si>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</si>
  <si>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</si>
  <si>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</si>
  <si>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</si>
  <si>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</si>
  <si>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</si>
  <si>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</si>
  <si>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</si>
  <si>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</si>
  <si>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</si>
  <si>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</si>
  <si>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</si>
  <si>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</si>
  <si>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</si>
  <si>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</si>
  <si>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</si>
  <si>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</si>
  <si>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</si>
  <si>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</si>
  <si>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</si>
  <si>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</si>
  <si>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</si>
  <si>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</si>
  <si>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</si>
  <si>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</si>
  <si>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</si>
  <si>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</si>
  <si>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</si>
  <si>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</si>
  <si>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</si>
  <si>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</si>
  <si>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</si>
  <si>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</si>
  <si>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</si>
  <si>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</si>
  <si>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</si>
  <si>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</si>
  <si>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</si>
  <si>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</si>
  <si>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</si>
  <si>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</si>
  <si>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</si>
  <si>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</si>
  <si>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</si>
  <si>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</si>
  <si>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</si>
  <si>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</si>
  <si>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</si>
  <si>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</si>
  <si>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</si>
  <si>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</si>
  <si>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Grand Total</t>
  </si>
  <si>
    <t>Products</t>
  </si>
  <si>
    <t>Sales Category</t>
  </si>
  <si>
    <t>Sales  Volume</t>
  </si>
  <si>
    <t>Age Group</t>
  </si>
  <si>
    <t>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</si>
</sst>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vertical="center" wrapText="1"/>
    </xf>
    <xf numFmtId="1" fontId="22" fillId="0" borderId="11" xfId="0" applyNumberFormat="1" applyFont="1" applyBorder="1" applyAlignment="1">
      <alignment vertical="center" wrapText="1"/>
    </xf>
    <xf numFmtId="0" fontId="0" fillId="0" borderId="12" xfId="0" pivotButton="1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indent="1"/>
    </xf>
    <xf numFmtId="0" fontId="0" fillId="0" borderId="12" xfId="0" applyBorder="1" applyAlignment="1">
      <alignment horizontal="center"/>
    </xf>
    <xf numFmtId="0" fontId="0" fillId="0" borderId="0" xfId="0" pivotButton="1"/>
    <xf numFmtId="1" fontId="0" fillId="0" borderId="0" xfId="0" applyNumberFormat="1"/>
    <xf numFmtId="0" fontId="23" fillId="0" borderId="0" xfId="0" applyFont="1" applyAlignment="1">
      <alignment horizontal="center"/>
    </xf>
    <xf numFmtId="2" fontId="21" fillId="0" borderId="10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border outline="0">
        <left style="medium">
          <color rgb="FFBFBFB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</border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 main one.xlsx]Sheet1!PivotTable1</c:name>
    <c:fmtId val="0"/>
  </c:pivotSource>
  <c:chart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92038495188102E-2"/>
          <c:y val="2.5428331875182269E-2"/>
          <c:w val="0.67345559930008747"/>
          <c:h val="0.764367891513560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0-EB4F-934B-5162420BB72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0-EB4F-934B-5162420BB72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0-EB4F-934B-5162420BB72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A0-EB4F-934B-5162420BB72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A0-EB4F-934B-5162420BB72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A0-EB4F-934B-5162420BB72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A0-EB4F-934B-5162420BB72D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A0-EB4F-934B-5162420BB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1295"/>
        <c:axId val="633172671"/>
      </c:barChart>
      <c:catAx>
        <c:axId val="62655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72671"/>
        <c:crosses val="autoZero"/>
        <c:auto val="1"/>
        <c:lblAlgn val="ctr"/>
        <c:lblOffset val="100"/>
        <c:noMultiLvlLbl val="0"/>
      </c:catAx>
      <c:valAx>
        <c:axId val="6331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5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1447800</xdr:colOff>
      <xdr:row>15</xdr:row>
      <xdr:rowOff>25400</xdr:rowOff>
    </xdr:from>
    <xdr:to>
      <xdr:col>8</xdr:col>
      <xdr:colOff>63500</xdr:colOff>
      <xdr:row>34</xdr:row>
      <xdr:rowOff>12700</xdr:rowOff>
    </xdr:to>
    <xdr:graphicFrame macro="">
      <xdr:nvGraphicFramePr>
        <xdr:cNvPr id="2" name="Sales Summary">
          <a:extLst>
            <a:ext uri="{FF2B5EF4-FFF2-40B4-BE49-F238E27FC236}">
              <a16:creationId xmlns:a16="http://schemas.microsoft.com/office/drawing/2014/main" id="{F39D9173-A0CA-2C50-C566-352218B5C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ia Maricella" refreshedDate="46219.976105208334" createdVersion="8" refreshedVersion="8" minRefreshableVersion="3" recordCount="88" xr:uid="{A66ED4C7-2D46-8646-B3DB-74BB160065B4}">
  <cacheSource type="worksheet">
    <worksheetSource name="Bike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ia Maricella" refreshedDate="46220.046171064816" createdVersion="8" refreshedVersion="8" minRefreshableVersion="3" recordCount="12" xr:uid="{E057134A-8CE4-444A-A4A6-DB6E339E3733}">
  <cacheSource type="worksheet">
    <worksheetSource ref="A1:C13" sheet="SWITCH etc.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1EDAD-37E6-9B44-840C-E14570C2CE25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" rowHeaderCaption="Age Group" colHeaderCaption="Country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sd="0" x="2"/>
        <item sd="0" x="6"/>
        <item sd="0" x="7"/>
        <item sd="0" x="5"/>
        <item sd="0" x="3"/>
        <item sd="0" x="1"/>
        <item sd="0" x="0"/>
        <item sd="0"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Order Quantity" fld="13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8" type="button" dataOnly="0" labelOnly="1" outline="0" axis="axisCol" fieldPosition="0"/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D7779-007B-854C-9A10-C35292ABBEC9}" name="PivotTable1" cacheId="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County" colHeaderCaption="Products">
  <location ref="A3:E11" firstHeaderRow="1" firstDataRow="2" firstDataCol="1"/>
  <pivotFields count="3">
    <pivotField axis="axisRow" showAll="0">
      <items count="7">
        <item x="1"/>
        <item x="4"/>
        <item x="3"/>
        <item x="5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ales  Volume" fld="2" baseField="0" baseItem="0" numFmtId="1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3DAC2-26A3-0647-A3A3-4F0DB4858B77}" name="Table2" displayName="Table2" ref="A3:S24" totalsRowShown="0">
  <autoFilter ref="A3:S24" xr:uid="{EE63DAC2-26A3-0647-A3A3-4F0DB4858B77}"/>
  <tableColumns count="19">
    <tableColumn id="1" xr3:uid="{2527E8DF-4BEE-124D-98BC-0CA4E8054427}" name="Sales_Order #"/>
    <tableColumn id="2" xr3:uid="{0B7801F8-806A-D64B-84A1-7D5B938C8493}" name="Date" dataDxfId="15"/>
    <tableColumn id="3" xr3:uid="{7CC74D43-353C-C342-8877-3C03E1449AA5}" name="Day"/>
    <tableColumn id="4" xr3:uid="{589848C8-5694-7D4C-A42E-E679C469C762}" name="Month"/>
    <tableColumn id="5" xr3:uid="{0717FA5C-419F-BD41-A394-1921DB059A1A}" name="Year"/>
    <tableColumn id="6" xr3:uid="{DDDA9338-2B3F-7B4B-9A1D-DA7A4B9BD9A2}" name="Customer_Age"/>
    <tableColumn id="7" xr3:uid="{40FBEC81-D3E1-514D-8A81-ABA496CFA982}" name="Age_Group"/>
    <tableColumn id="8" xr3:uid="{F6644AA4-B418-0048-AF8D-2E8662C57F05}" name="Customer_Gender"/>
    <tableColumn id="9" xr3:uid="{BF091C9D-D22D-C64B-94DE-3BE737DE4B4E}" name="Country"/>
    <tableColumn id="10" xr3:uid="{2E4749FF-26FF-CF44-B3E0-C8C1778FF2FF}" name="State"/>
    <tableColumn id="11" xr3:uid="{A3261535-172F-6545-BCE7-9F5ADCE3BEF1}" name="Product_Category"/>
    <tableColumn id="12" xr3:uid="{21526CA2-2891-674E-A3B0-5E413757F681}" name="Sub_Category"/>
    <tableColumn id="13" xr3:uid="{351C6919-DD84-FA4B-AC0D-DCA5DBF9DFB2}" name="Product_Description"/>
    <tableColumn id="14" xr3:uid="{4A15ACED-203A-5A46-A828-7A50CC262E19}" name="Order_Quantity"/>
    <tableColumn id="15" xr3:uid="{8C8D27EA-D869-D546-8962-93928B027CA4}" name=" Unit_Cost "/>
    <tableColumn id="16" xr3:uid="{CFD828AB-2F2E-D74E-AD17-DC94F265BBA9}" name=" Unit_Price "/>
    <tableColumn id="17" xr3:uid="{86C74495-9A2A-4B44-BCDA-CBE206DA292A}" name=" Profit "/>
    <tableColumn id="18" xr3:uid="{3098EC63-780B-CB4C-83AC-20F740912DD1}" name=" Cost "/>
    <tableColumn id="19" xr3:uid="{28815352-D79B-8D46-9181-3C01E1E32B6C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CD0B5-94B6-1443-89E8-DF577638D3BD}" name="BikeSales" displayName="BikeSales" ref="A1:S89" totalsRowShown="0" headerRowDxfId="14">
  <autoFilter ref="A1:S89" xr:uid="{D44CD0B5-94B6-1443-89E8-DF577638D3BD}"/>
  <tableColumns count="19">
    <tableColumn id="1" xr3:uid="{D8510F91-F8A3-264E-B5A9-58D197DB181A}" name="Sales_Order #" dataDxfId="13"/>
    <tableColumn id="2" xr3:uid="{4C7ACDAC-AF63-2E4E-AE34-F61DE6498A12}" name="Date" dataDxfId="12"/>
    <tableColumn id="3" xr3:uid="{CA6478C4-AD05-3344-A1D3-DE29A9F47704}" name="Day"/>
    <tableColumn id="4" xr3:uid="{8042BC12-95F3-DB45-8B81-26BEC45744B7}" name="Month"/>
    <tableColumn id="5" xr3:uid="{BBE73FB1-6DA5-0A47-BFC3-3F5B167B7A79}" name="Year"/>
    <tableColumn id="6" xr3:uid="{8C6076AE-1C58-844A-8504-E280137188DB}" name="Customer_Age"/>
    <tableColumn id="7" xr3:uid="{D1D72F32-E181-F445-B360-2E61D2AF5D58}" name="Age_Group" dataDxfId="11"/>
    <tableColumn id="8" xr3:uid="{821F2171-A268-9247-B1C0-A26DEA8F2BB8}" name="Customer_Gender"/>
    <tableColumn id="9" xr3:uid="{875A4415-1B74-C343-B393-A6F33B6EFAE3}" name="Country"/>
    <tableColumn id="10" xr3:uid="{199E47F2-1B0B-EC4A-9E91-472D7979E6EB}" name="State"/>
    <tableColumn id="11" xr3:uid="{216FE45E-1C1E-9642-9DB3-FDE6754E0BCE}" name="Product_Category"/>
    <tableColumn id="12" xr3:uid="{9E79CACC-7172-974E-8905-B9180D1BD97F}" name="Sub_Category"/>
    <tableColumn id="13" xr3:uid="{2FED60B4-7B43-7E49-9102-7B4896B49011}" name="Product_Description" dataDxfId="10"/>
    <tableColumn id="14" xr3:uid="{7F808048-7E48-1B48-A1CC-CB74CC11DAD4}" name="Order_Quantity"/>
    <tableColumn id="15" xr3:uid="{7D5F9C24-41F7-664F-9BE4-68FA7322968B}" name=" Unit_Cost " dataDxfId="9"/>
    <tableColumn id="16" xr3:uid="{D22967FD-B726-A342-A0F3-4A0B6FFDA360}" name=" Unit_Price " dataDxfId="8"/>
    <tableColumn id="17" xr3:uid="{5F7B3806-9041-5648-95AD-45F9FD601E42}" name=" Profit " dataDxfId="7"/>
    <tableColumn id="18" xr3:uid="{EA00DC59-FC07-CC41-B37E-DBBC7891EE1C}" name=" Cost " dataDxfId="6">
      <calculatedColumnFormula>N2*O2</calculatedColumnFormula>
    </tableColumn>
    <tableColumn id="19" xr3:uid="{52B7171E-02C9-C745-8C90-D2CD20C16E5D}" name="Revenue" dataDxfId="5">
      <calculatedColumnFormula>N2*P2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371305-DF4F-104C-9425-A14E14DC603A}" name="Table3" displayName="Table3" ref="A1:D13" totalsRowShown="0" tableBorderDxfId="4">
  <autoFilter ref="A1:D13" xr:uid="{1E371305-DF4F-104C-9425-A14E14DC603A}"/>
  <tableColumns count="4">
    <tableColumn id="1" xr3:uid="{011D44C1-CBAD-F145-9926-06F19BAE0B4B}" name="County" dataDxfId="3"/>
    <tableColumn id="2" xr3:uid="{0C81F528-ABC0-024A-B9AC-478F523B259D}" name="Product" dataDxfId="2"/>
    <tableColumn id="3" xr3:uid="{825A3343-A7FD-E546-AF10-F84522815C39}" name="Sales Volume" dataDxfId="0"/>
    <tableColumn id="4" xr3:uid="{9C635F10-3BAC-0144-B0E5-DA34CC2AD3F7}" name="Sales Category" dataDxfId="1">
      <calculatedColumnFormula array="1">_xlfn.SWITCH(TRUE,C2&gt;600,"HIGH",C2&gt;=300,"MEDIUM","LOW")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4B25-F4CB-3A4A-B980-81D29C795F6D}">
  <dimension ref="A3:S24"/>
  <sheetViews>
    <sheetView workbookViewId="0">
      <selection activeCell="A3" sqref="A3:S24"/>
    </sheetView>
  </sheetViews>
  <sheetFormatPr baseColWidth="10" defaultRowHeight="15" x14ac:dyDescent="0.2"/>
  <cols>
    <col min="1" max="1" width="14" bestFit="1" customWidth="1"/>
    <col min="2" max="5" width="11" bestFit="1" customWidth="1"/>
    <col min="6" max="6" width="15" bestFit="1" customWidth="1"/>
    <col min="7" max="7" width="12.33203125" bestFit="1" customWidth="1"/>
    <col min="8" max="8" width="17.83203125" bestFit="1" customWidth="1"/>
    <col min="9" max="9" width="13.5" bestFit="1" customWidth="1"/>
    <col min="10" max="10" width="17.1640625" bestFit="1" customWidth="1"/>
    <col min="11" max="11" width="17.5" bestFit="1" customWidth="1"/>
    <col min="12" max="12" width="14.1640625" bestFit="1" customWidth="1"/>
    <col min="13" max="13" width="22" bestFit="1" customWidth="1"/>
    <col min="14" max="14" width="15.83203125" bestFit="1" customWidth="1"/>
    <col min="15" max="15" width="11.83203125" bestFit="1" customWidth="1"/>
    <col min="16" max="16" width="12.5" bestFit="1" customWidth="1"/>
    <col min="17" max="19" width="11" bestFit="1" customWidth="1"/>
  </cols>
  <sheetData>
    <row r="3" spans="1:1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2">
      <c r="A4" t="s">
        <v>157</v>
      </c>
      <c r="B4" s="1">
        <v>44554</v>
      </c>
      <c r="C4">
        <v>24</v>
      </c>
      <c r="D4" t="s">
        <v>20</v>
      </c>
      <c r="E4">
        <v>2021</v>
      </c>
      <c r="F4">
        <v>38</v>
      </c>
      <c r="G4" t="s">
        <v>21</v>
      </c>
      <c r="H4" t="s">
        <v>29</v>
      </c>
      <c r="I4" t="s">
        <v>37</v>
      </c>
      <c r="J4" t="s">
        <v>54</v>
      </c>
      <c r="K4" t="s">
        <v>25</v>
      </c>
      <c r="L4" t="s">
        <v>26</v>
      </c>
      <c r="M4" t="s">
        <v>62</v>
      </c>
      <c r="N4">
        <v>4</v>
      </c>
      <c r="O4">
        <v>1252</v>
      </c>
      <c r="P4">
        <v>2295</v>
      </c>
      <c r="Q4">
        <v>4172</v>
      </c>
      <c r="R4">
        <v>5008</v>
      </c>
      <c r="S4">
        <v>9180</v>
      </c>
    </row>
    <row r="5" spans="1:19" x14ac:dyDescent="0.2">
      <c r="A5" t="s">
        <v>144</v>
      </c>
      <c r="B5" s="1">
        <v>44550</v>
      </c>
      <c r="C5">
        <v>20</v>
      </c>
      <c r="D5" t="s">
        <v>20</v>
      </c>
      <c r="E5">
        <v>2021</v>
      </c>
      <c r="F5">
        <v>35</v>
      </c>
      <c r="G5" t="s">
        <v>21</v>
      </c>
      <c r="H5" t="s">
        <v>29</v>
      </c>
      <c r="I5" t="s">
        <v>37</v>
      </c>
      <c r="J5" t="s">
        <v>75</v>
      </c>
      <c r="K5" t="s">
        <v>25</v>
      </c>
      <c r="L5" t="s">
        <v>26</v>
      </c>
      <c r="M5" t="s">
        <v>55</v>
      </c>
      <c r="N5">
        <v>1</v>
      </c>
      <c r="O5">
        <v>1266</v>
      </c>
      <c r="P5">
        <v>2320</v>
      </c>
      <c r="Q5">
        <v>1054</v>
      </c>
      <c r="R5">
        <v>1266</v>
      </c>
      <c r="S5">
        <v>2320</v>
      </c>
    </row>
    <row r="6" spans="1:19" x14ac:dyDescent="0.2">
      <c r="A6" t="s">
        <v>140</v>
      </c>
      <c r="B6" s="1">
        <v>44550</v>
      </c>
      <c r="C6">
        <v>20</v>
      </c>
      <c r="D6" t="s">
        <v>20</v>
      </c>
      <c r="E6">
        <v>2021</v>
      </c>
      <c r="F6">
        <v>57</v>
      </c>
      <c r="G6" t="s">
        <v>21</v>
      </c>
      <c r="H6" t="s">
        <v>29</v>
      </c>
      <c r="I6" t="s">
        <v>37</v>
      </c>
      <c r="J6" t="s">
        <v>54</v>
      </c>
      <c r="K6" t="s">
        <v>25</v>
      </c>
      <c r="L6" t="s">
        <v>26</v>
      </c>
      <c r="M6" t="s">
        <v>27</v>
      </c>
      <c r="N6">
        <v>4</v>
      </c>
      <c r="O6">
        <v>1252</v>
      </c>
      <c r="P6">
        <v>2295</v>
      </c>
      <c r="Q6">
        <v>4172</v>
      </c>
      <c r="R6">
        <v>5008</v>
      </c>
      <c r="S6">
        <v>9180</v>
      </c>
    </row>
    <row r="7" spans="1:19" x14ac:dyDescent="0.2">
      <c r="A7" t="s">
        <v>109</v>
      </c>
      <c r="B7" s="1">
        <v>44546</v>
      </c>
      <c r="C7">
        <v>16</v>
      </c>
      <c r="D7" t="s">
        <v>20</v>
      </c>
      <c r="E7">
        <v>2021</v>
      </c>
      <c r="F7">
        <v>38</v>
      </c>
      <c r="G7" t="s">
        <v>21</v>
      </c>
      <c r="H7" t="s">
        <v>29</v>
      </c>
      <c r="I7" t="s">
        <v>37</v>
      </c>
      <c r="J7" t="s">
        <v>38</v>
      </c>
      <c r="K7" t="s">
        <v>25</v>
      </c>
      <c r="L7" t="s">
        <v>26</v>
      </c>
      <c r="M7" t="s">
        <v>44</v>
      </c>
      <c r="N7">
        <v>2</v>
      </c>
      <c r="O7">
        <v>1252</v>
      </c>
      <c r="P7">
        <v>2295</v>
      </c>
      <c r="Q7">
        <v>2086</v>
      </c>
      <c r="R7">
        <v>2504</v>
      </c>
      <c r="S7">
        <v>4590</v>
      </c>
    </row>
    <row r="8" spans="1:19" x14ac:dyDescent="0.2">
      <c r="A8" t="s">
        <v>61</v>
      </c>
      <c r="B8" s="1">
        <v>44536</v>
      </c>
      <c r="C8">
        <v>6</v>
      </c>
      <c r="D8" t="s">
        <v>20</v>
      </c>
      <c r="E8">
        <v>2021</v>
      </c>
      <c r="F8">
        <v>36</v>
      </c>
      <c r="G8" t="s">
        <v>21</v>
      </c>
      <c r="H8" t="s">
        <v>29</v>
      </c>
      <c r="I8" t="s">
        <v>37</v>
      </c>
      <c r="J8" t="s">
        <v>38</v>
      </c>
      <c r="K8" t="s">
        <v>25</v>
      </c>
      <c r="L8" t="s">
        <v>26</v>
      </c>
      <c r="M8" t="s">
        <v>62</v>
      </c>
      <c r="N8">
        <v>1</v>
      </c>
      <c r="O8">
        <v>1252</v>
      </c>
      <c r="P8">
        <v>2295</v>
      </c>
      <c r="Q8">
        <v>1043</v>
      </c>
      <c r="R8">
        <v>1252</v>
      </c>
      <c r="S8">
        <v>2295</v>
      </c>
    </row>
    <row r="9" spans="1:19" x14ac:dyDescent="0.2">
      <c r="A9" t="s">
        <v>86</v>
      </c>
      <c r="B9" s="1">
        <v>44540</v>
      </c>
      <c r="C9">
        <v>10</v>
      </c>
      <c r="D9" t="s">
        <v>20</v>
      </c>
      <c r="E9">
        <v>2021</v>
      </c>
      <c r="F9">
        <v>38</v>
      </c>
      <c r="G9" t="s">
        <v>21</v>
      </c>
      <c r="H9" t="s">
        <v>29</v>
      </c>
      <c r="I9" t="s">
        <v>37</v>
      </c>
      <c r="J9" t="s">
        <v>38</v>
      </c>
      <c r="K9" t="s">
        <v>25</v>
      </c>
      <c r="L9" t="s">
        <v>26</v>
      </c>
      <c r="M9" t="s">
        <v>44</v>
      </c>
      <c r="N9">
        <v>1</v>
      </c>
      <c r="O9">
        <v>1252</v>
      </c>
      <c r="P9">
        <v>2295</v>
      </c>
      <c r="Q9">
        <v>1043</v>
      </c>
      <c r="R9">
        <v>1252</v>
      </c>
      <c r="S9">
        <v>2295</v>
      </c>
    </row>
    <row r="10" spans="1:19" x14ac:dyDescent="0.2">
      <c r="A10" t="s">
        <v>80</v>
      </c>
      <c r="B10" s="1">
        <v>44540</v>
      </c>
      <c r="C10">
        <v>10</v>
      </c>
      <c r="D10" t="s">
        <v>20</v>
      </c>
      <c r="E10">
        <v>2021</v>
      </c>
      <c r="F10">
        <v>40</v>
      </c>
      <c r="G10" t="s">
        <v>21</v>
      </c>
      <c r="H10" t="s">
        <v>29</v>
      </c>
      <c r="I10" t="s">
        <v>37</v>
      </c>
      <c r="J10" t="s">
        <v>38</v>
      </c>
      <c r="K10" t="s">
        <v>25</v>
      </c>
      <c r="L10" t="s">
        <v>26</v>
      </c>
      <c r="M10" t="s">
        <v>62</v>
      </c>
      <c r="N10">
        <v>2</v>
      </c>
      <c r="O10">
        <v>1252</v>
      </c>
      <c r="P10">
        <v>2295</v>
      </c>
      <c r="Q10">
        <v>2086</v>
      </c>
      <c r="R10">
        <v>2504</v>
      </c>
      <c r="S10">
        <v>4590</v>
      </c>
    </row>
    <row r="11" spans="1:19" x14ac:dyDescent="0.2">
      <c r="A11" t="s">
        <v>153</v>
      </c>
      <c r="B11" s="1">
        <v>44552</v>
      </c>
      <c r="C11">
        <v>22</v>
      </c>
      <c r="D11" t="s">
        <v>20</v>
      </c>
      <c r="E11">
        <v>2021</v>
      </c>
      <c r="F11">
        <v>41</v>
      </c>
      <c r="G11" t="s">
        <v>21</v>
      </c>
      <c r="H11" t="s">
        <v>29</v>
      </c>
      <c r="I11" t="s">
        <v>51</v>
      </c>
      <c r="J11" t="s">
        <v>137</v>
      </c>
      <c r="K11" t="s">
        <v>25</v>
      </c>
      <c r="L11" t="s">
        <v>26</v>
      </c>
      <c r="M11" t="s">
        <v>55</v>
      </c>
      <c r="N11">
        <v>1</v>
      </c>
      <c r="O11">
        <v>1266</v>
      </c>
      <c r="P11">
        <v>2320</v>
      </c>
      <c r="Q11">
        <v>1054</v>
      </c>
      <c r="R11">
        <v>1266</v>
      </c>
      <c r="S11">
        <v>2320</v>
      </c>
    </row>
    <row r="12" spans="1:19" x14ac:dyDescent="0.2">
      <c r="A12" t="s">
        <v>50</v>
      </c>
      <c r="B12" s="1">
        <v>44535</v>
      </c>
      <c r="D12" t="s">
        <v>20</v>
      </c>
      <c r="E12">
        <v>2021</v>
      </c>
      <c r="F12">
        <v>42</v>
      </c>
      <c r="G12" t="s">
        <v>21</v>
      </c>
      <c r="H12" t="s">
        <v>29</v>
      </c>
      <c r="I12" t="s">
        <v>51</v>
      </c>
      <c r="J12" t="s">
        <v>52</v>
      </c>
      <c r="K12" t="s">
        <v>25</v>
      </c>
      <c r="L12" t="s">
        <v>26</v>
      </c>
      <c r="M12" t="s">
        <v>44</v>
      </c>
      <c r="N12">
        <v>4</v>
      </c>
      <c r="O12">
        <v>1252</v>
      </c>
      <c r="P12">
        <v>2295</v>
      </c>
      <c r="Q12">
        <v>4172</v>
      </c>
      <c r="R12">
        <v>5008</v>
      </c>
      <c r="S12">
        <v>9180</v>
      </c>
    </row>
    <row r="13" spans="1:19" x14ac:dyDescent="0.2">
      <c r="A13" t="s">
        <v>28</v>
      </c>
      <c r="B13" s="1">
        <v>44531</v>
      </c>
      <c r="C13">
        <v>1</v>
      </c>
      <c r="D13" t="s">
        <v>20</v>
      </c>
      <c r="E13">
        <v>2021</v>
      </c>
      <c r="F13">
        <v>44</v>
      </c>
      <c r="G13" t="s">
        <v>21</v>
      </c>
      <c r="H13" t="s">
        <v>29</v>
      </c>
      <c r="I13" t="s">
        <v>30</v>
      </c>
      <c r="J13" t="s">
        <v>31</v>
      </c>
      <c r="K13" t="s">
        <v>25</v>
      </c>
      <c r="L13" t="s">
        <v>26</v>
      </c>
      <c r="M13" t="s">
        <v>32</v>
      </c>
      <c r="N13">
        <v>1</v>
      </c>
      <c r="O13">
        <v>1266</v>
      </c>
      <c r="P13">
        <v>2320</v>
      </c>
      <c r="Q13">
        <v>1054</v>
      </c>
      <c r="R13">
        <v>1266</v>
      </c>
      <c r="S13">
        <v>2320</v>
      </c>
    </row>
    <row r="14" spans="1:19" x14ac:dyDescent="0.2">
      <c r="A14" t="s">
        <v>103</v>
      </c>
      <c r="B14" s="1">
        <v>44543</v>
      </c>
      <c r="C14">
        <v>13</v>
      </c>
      <c r="D14" t="s">
        <v>20</v>
      </c>
      <c r="E14">
        <v>2021</v>
      </c>
      <c r="F14">
        <v>49</v>
      </c>
      <c r="G14" t="s">
        <v>21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t="s">
        <v>44</v>
      </c>
      <c r="N14">
        <v>1</v>
      </c>
      <c r="O14">
        <v>1252</v>
      </c>
      <c r="P14">
        <v>2295</v>
      </c>
      <c r="Q14">
        <v>1043</v>
      </c>
      <c r="R14">
        <v>1252</v>
      </c>
      <c r="S14">
        <v>2295</v>
      </c>
    </row>
    <row r="15" spans="1:19" x14ac:dyDescent="0.2">
      <c r="A15" t="s">
        <v>63</v>
      </c>
      <c r="B15" s="1">
        <v>44536</v>
      </c>
      <c r="C15">
        <v>6</v>
      </c>
      <c r="D15" t="s">
        <v>20</v>
      </c>
      <c r="E15">
        <v>2021</v>
      </c>
      <c r="F15">
        <v>47</v>
      </c>
      <c r="G15" t="s">
        <v>21</v>
      </c>
      <c r="H15" t="s">
        <v>29</v>
      </c>
      <c r="I15" t="s">
        <v>30</v>
      </c>
      <c r="J15" t="s">
        <v>31</v>
      </c>
      <c r="K15" t="s">
        <v>25</v>
      </c>
      <c r="L15" t="s">
        <v>26</v>
      </c>
      <c r="M15" t="s">
        <v>55</v>
      </c>
      <c r="N15">
        <v>1</v>
      </c>
      <c r="O15">
        <v>1266</v>
      </c>
      <c r="P15">
        <v>2320</v>
      </c>
      <c r="Q15">
        <v>1054</v>
      </c>
      <c r="R15">
        <v>1266</v>
      </c>
      <c r="S15">
        <v>2320</v>
      </c>
    </row>
    <row r="16" spans="1:19" x14ac:dyDescent="0.2">
      <c r="A16" t="s">
        <v>33</v>
      </c>
      <c r="B16" s="1">
        <v>44532</v>
      </c>
      <c r="C16">
        <v>2</v>
      </c>
      <c r="D16" t="s">
        <v>20</v>
      </c>
      <c r="E16">
        <v>2021</v>
      </c>
      <c r="F16">
        <v>37</v>
      </c>
      <c r="G16" t="s">
        <v>21</v>
      </c>
      <c r="H16" t="s">
        <v>29</v>
      </c>
      <c r="I16" t="s">
        <v>23</v>
      </c>
      <c r="J16" t="s">
        <v>24</v>
      </c>
      <c r="K16" t="s">
        <v>25</v>
      </c>
      <c r="L16" t="s">
        <v>26</v>
      </c>
      <c r="M16" t="s">
        <v>34</v>
      </c>
      <c r="N16">
        <v>2</v>
      </c>
      <c r="O16">
        <v>420</v>
      </c>
      <c r="P16">
        <v>769</v>
      </c>
      <c r="Q16">
        <v>698</v>
      </c>
      <c r="R16">
        <v>840</v>
      </c>
      <c r="S16">
        <v>1538</v>
      </c>
    </row>
    <row r="17" spans="1:19" x14ac:dyDescent="0.2">
      <c r="A17" t="s">
        <v>149</v>
      </c>
      <c r="B17" s="1">
        <v>44552</v>
      </c>
      <c r="C17">
        <v>22</v>
      </c>
      <c r="D17" t="s">
        <v>20</v>
      </c>
      <c r="E17">
        <v>2021</v>
      </c>
      <c r="F17">
        <v>41</v>
      </c>
      <c r="G17" t="s">
        <v>21</v>
      </c>
      <c r="H17" t="s">
        <v>29</v>
      </c>
      <c r="I17" t="s">
        <v>23</v>
      </c>
      <c r="J17" t="s">
        <v>24</v>
      </c>
      <c r="K17" t="s">
        <v>25</v>
      </c>
      <c r="L17" t="s">
        <v>26</v>
      </c>
      <c r="M17" t="s">
        <v>62</v>
      </c>
      <c r="N17">
        <v>3</v>
      </c>
      <c r="O17">
        <v>1252</v>
      </c>
      <c r="P17">
        <v>2295</v>
      </c>
      <c r="Q17">
        <v>3129</v>
      </c>
      <c r="R17">
        <v>3756</v>
      </c>
      <c r="S17">
        <v>6885</v>
      </c>
    </row>
    <row r="18" spans="1:19" x14ac:dyDescent="0.2">
      <c r="A18" t="s">
        <v>131</v>
      </c>
      <c r="B18" s="1">
        <v>44549</v>
      </c>
      <c r="C18">
        <v>19</v>
      </c>
      <c r="D18" t="s">
        <v>20</v>
      </c>
      <c r="E18">
        <v>2021</v>
      </c>
      <c r="F18">
        <v>37</v>
      </c>
      <c r="G18" t="s">
        <v>21</v>
      </c>
      <c r="H18" t="s">
        <v>29</v>
      </c>
      <c r="I18" t="s">
        <v>23</v>
      </c>
      <c r="J18" t="s">
        <v>71</v>
      </c>
      <c r="K18" t="s">
        <v>25</v>
      </c>
      <c r="L18" t="s">
        <v>26</v>
      </c>
      <c r="M18" t="s">
        <v>44</v>
      </c>
      <c r="N18">
        <v>4</v>
      </c>
      <c r="O18">
        <v>1252</v>
      </c>
      <c r="P18">
        <v>2295</v>
      </c>
      <c r="Q18">
        <v>4172</v>
      </c>
      <c r="R18">
        <v>5008</v>
      </c>
      <c r="S18">
        <v>9180</v>
      </c>
    </row>
    <row r="19" spans="1:19" x14ac:dyDescent="0.2">
      <c r="A19" t="s">
        <v>123</v>
      </c>
      <c r="B19" s="1">
        <v>44548</v>
      </c>
      <c r="C19">
        <v>18</v>
      </c>
      <c r="D19" t="s">
        <v>20</v>
      </c>
      <c r="E19">
        <v>2021</v>
      </c>
      <c r="F19">
        <v>36</v>
      </c>
      <c r="G19" t="s">
        <v>21</v>
      </c>
      <c r="H19" t="s">
        <v>29</v>
      </c>
      <c r="I19" t="s">
        <v>23</v>
      </c>
      <c r="J19" t="s">
        <v>47</v>
      </c>
      <c r="K19" t="s">
        <v>25</v>
      </c>
      <c r="L19" t="s">
        <v>26</v>
      </c>
      <c r="M19" t="s">
        <v>55</v>
      </c>
      <c r="N19">
        <v>1</v>
      </c>
      <c r="O19">
        <v>1266</v>
      </c>
      <c r="P19">
        <v>2320</v>
      </c>
      <c r="Q19">
        <v>1054</v>
      </c>
      <c r="R19">
        <v>1266</v>
      </c>
      <c r="S19">
        <v>2320</v>
      </c>
    </row>
    <row r="20" spans="1:19" x14ac:dyDescent="0.2">
      <c r="A20" t="s">
        <v>121</v>
      </c>
      <c r="B20" s="1">
        <v>44548</v>
      </c>
      <c r="C20">
        <v>18</v>
      </c>
      <c r="D20" t="s">
        <v>20</v>
      </c>
      <c r="E20">
        <v>2021</v>
      </c>
      <c r="F20">
        <v>39</v>
      </c>
      <c r="G20" t="s">
        <v>21</v>
      </c>
      <c r="H20" t="s">
        <v>29</v>
      </c>
      <c r="I20" t="s">
        <v>23</v>
      </c>
      <c r="J20" t="s">
        <v>24</v>
      </c>
      <c r="K20" t="s">
        <v>25</v>
      </c>
      <c r="L20" t="s">
        <v>26</v>
      </c>
      <c r="M20" t="s">
        <v>62</v>
      </c>
      <c r="N20">
        <v>3</v>
      </c>
      <c r="O20">
        <v>1252</v>
      </c>
      <c r="P20">
        <v>2295</v>
      </c>
      <c r="Q20">
        <v>3129</v>
      </c>
      <c r="R20">
        <v>3756</v>
      </c>
      <c r="S20">
        <v>6885</v>
      </c>
    </row>
    <row r="21" spans="1:19" x14ac:dyDescent="0.2">
      <c r="A21" t="s">
        <v>95</v>
      </c>
      <c r="B21" s="1">
        <v>44542</v>
      </c>
      <c r="C21">
        <v>12</v>
      </c>
      <c r="D21" t="s">
        <v>20</v>
      </c>
      <c r="E21">
        <v>2021</v>
      </c>
      <c r="F21">
        <v>37</v>
      </c>
      <c r="G21" t="s">
        <v>21</v>
      </c>
      <c r="H21" t="s">
        <v>29</v>
      </c>
      <c r="I21" t="s">
        <v>23</v>
      </c>
      <c r="J21" t="s">
        <v>24</v>
      </c>
      <c r="K21" t="s">
        <v>25</v>
      </c>
      <c r="L21" t="s">
        <v>26</v>
      </c>
      <c r="M21" t="s">
        <v>34</v>
      </c>
      <c r="N21">
        <v>4</v>
      </c>
      <c r="O21">
        <v>420</v>
      </c>
      <c r="P21">
        <v>769</v>
      </c>
      <c r="Q21">
        <v>1396</v>
      </c>
      <c r="R21">
        <v>1680</v>
      </c>
      <c r="S21">
        <v>3076</v>
      </c>
    </row>
    <row r="22" spans="1:19" x14ac:dyDescent="0.2">
      <c r="A22" t="s">
        <v>66</v>
      </c>
      <c r="B22" s="1">
        <v>44537</v>
      </c>
      <c r="C22">
        <v>7</v>
      </c>
      <c r="D22" t="s">
        <v>20</v>
      </c>
      <c r="E22">
        <v>2021</v>
      </c>
      <c r="F22">
        <v>38</v>
      </c>
      <c r="G22" t="s">
        <v>21</v>
      </c>
      <c r="H22" t="s">
        <v>29</v>
      </c>
      <c r="I22" t="s">
        <v>23</v>
      </c>
      <c r="J22" t="s">
        <v>24</v>
      </c>
      <c r="K22" t="s">
        <v>25</v>
      </c>
      <c r="L22" t="s">
        <v>26</v>
      </c>
      <c r="M22" t="s">
        <v>32</v>
      </c>
      <c r="N22">
        <v>2</v>
      </c>
      <c r="O22">
        <v>1266</v>
      </c>
      <c r="P22">
        <v>2320</v>
      </c>
      <c r="Q22">
        <v>2108</v>
      </c>
      <c r="R22">
        <v>2532</v>
      </c>
      <c r="S22">
        <v>4640</v>
      </c>
    </row>
    <row r="23" spans="1:19" x14ac:dyDescent="0.2">
      <c r="A23" t="s">
        <v>92</v>
      </c>
      <c r="B23" s="1">
        <v>44541</v>
      </c>
      <c r="C23">
        <v>11</v>
      </c>
      <c r="D23" t="s">
        <v>20</v>
      </c>
      <c r="E23">
        <v>2021</v>
      </c>
      <c r="F23">
        <v>37</v>
      </c>
      <c r="G23" t="s">
        <v>21</v>
      </c>
      <c r="H23" t="s">
        <v>29</v>
      </c>
      <c r="I23" t="s">
        <v>23</v>
      </c>
      <c r="J23" t="s">
        <v>24</v>
      </c>
      <c r="K23" t="s">
        <v>25</v>
      </c>
      <c r="L23" t="s">
        <v>26</v>
      </c>
      <c r="M23" t="s">
        <v>34</v>
      </c>
      <c r="N23">
        <v>1</v>
      </c>
      <c r="O23">
        <v>420</v>
      </c>
      <c r="P23">
        <v>769</v>
      </c>
      <c r="Q23">
        <v>349</v>
      </c>
      <c r="R23">
        <v>420</v>
      </c>
      <c r="S23">
        <v>769</v>
      </c>
    </row>
    <row r="24" spans="1:19" x14ac:dyDescent="0.2">
      <c r="A24" t="s">
        <v>45</v>
      </c>
      <c r="B24" s="1">
        <v>44533</v>
      </c>
      <c r="C24">
        <v>3</v>
      </c>
      <c r="D24" t="s">
        <v>20</v>
      </c>
      <c r="E24">
        <v>2021</v>
      </c>
      <c r="F24">
        <v>37</v>
      </c>
      <c r="G24" t="s">
        <v>21</v>
      </c>
      <c r="H24" t="s">
        <v>29</v>
      </c>
      <c r="I24" t="s">
        <v>46</v>
      </c>
      <c r="J24" t="s">
        <v>47</v>
      </c>
      <c r="K24" t="s">
        <v>25</v>
      </c>
      <c r="L24" t="s">
        <v>26</v>
      </c>
      <c r="M24" t="s">
        <v>27</v>
      </c>
      <c r="N24">
        <v>1</v>
      </c>
      <c r="O24">
        <v>1252</v>
      </c>
      <c r="P24">
        <v>2295</v>
      </c>
      <c r="Q24">
        <v>1043</v>
      </c>
      <c r="R24">
        <v>1252</v>
      </c>
      <c r="S24">
        <v>2295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DE48-DBF7-854D-A782-8F9BB6F37A8A}">
  <dimension ref="A3:J14"/>
  <sheetViews>
    <sheetView tabSelected="1" workbookViewId="0">
      <selection activeCell="R37" sqref="R37"/>
    </sheetView>
  </sheetViews>
  <sheetFormatPr baseColWidth="10" defaultRowHeight="15" x14ac:dyDescent="0.2"/>
  <cols>
    <col min="1" max="1" width="19.33203125" bestFit="1" customWidth="1"/>
    <col min="2" max="2" width="14.83203125" bestFit="1" customWidth="1"/>
    <col min="3" max="3" width="6.6640625" bestFit="1" customWidth="1"/>
    <col min="4" max="4" width="6.33203125" bestFit="1" customWidth="1"/>
    <col min="5" max="5" width="8.1640625" bestFit="1" customWidth="1"/>
    <col min="6" max="6" width="11.83203125" bestFit="1" customWidth="1"/>
    <col min="7" max="7" width="13.6640625" bestFit="1" customWidth="1"/>
    <col min="8" max="8" width="11.5" bestFit="1" customWidth="1"/>
    <col min="9" max="9" width="11.83203125" bestFit="1" customWidth="1"/>
    <col min="10" max="10" width="10" bestFit="1" customWidth="1"/>
    <col min="11" max="11" width="6.6640625" bestFit="1" customWidth="1"/>
    <col min="12" max="12" width="6.33203125" bestFit="1" customWidth="1"/>
    <col min="13" max="13" width="8.1640625" bestFit="1" customWidth="1"/>
    <col min="14" max="14" width="11.83203125" bestFit="1" customWidth="1"/>
    <col min="15" max="15" width="13.6640625" bestFit="1" customWidth="1"/>
    <col min="16" max="16" width="11.5" bestFit="1" customWidth="1"/>
    <col min="17" max="17" width="11.83203125" bestFit="1" customWidth="1"/>
    <col min="18" max="18" width="23.33203125" bestFit="1" customWidth="1"/>
    <col min="19" max="19" width="14.33203125" bestFit="1" customWidth="1"/>
  </cols>
  <sheetData>
    <row r="3" spans="1:10" x14ac:dyDescent="0.2">
      <c r="A3" s="12" t="s">
        <v>175</v>
      </c>
      <c r="B3" s="12" t="s">
        <v>8</v>
      </c>
      <c r="C3" s="13"/>
      <c r="D3" s="13"/>
      <c r="E3" s="13"/>
      <c r="F3" s="13"/>
      <c r="G3" s="13"/>
      <c r="H3" s="13"/>
      <c r="I3" s="13"/>
      <c r="J3" s="13"/>
    </row>
    <row r="4" spans="1:10" x14ac:dyDescent="0.2">
      <c r="A4" s="12" t="s">
        <v>174</v>
      </c>
      <c r="B4" s="13" t="s">
        <v>37</v>
      </c>
      <c r="C4" s="13" t="s">
        <v>59</v>
      </c>
      <c r="D4" s="13" t="s">
        <v>88</v>
      </c>
      <c r="E4" s="13" t="s">
        <v>51</v>
      </c>
      <c r="F4" s="13" t="s">
        <v>41</v>
      </c>
      <c r="G4" s="13" t="s">
        <v>30</v>
      </c>
      <c r="H4" s="13" t="s">
        <v>23</v>
      </c>
      <c r="I4" s="13" t="s">
        <v>46</v>
      </c>
      <c r="J4" s="13" t="s">
        <v>170</v>
      </c>
    </row>
    <row r="5" spans="1:10" x14ac:dyDescent="0.2">
      <c r="A5" s="14" t="s">
        <v>43</v>
      </c>
      <c r="B5" s="16">
        <v>11</v>
      </c>
      <c r="C5" s="16">
        <v>0</v>
      </c>
      <c r="D5" s="16">
        <v>10</v>
      </c>
      <c r="E5" s="16">
        <v>0</v>
      </c>
      <c r="F5" s="16">
        <v>0</v>
      </c>
      <c r="G5" s="16">
        <v>6</v>
      </c>
      <c r="H5" s="16">
        <v>0</v>
      </c>
      <c r="I5" s="16">
        <v>0</v>
      </c>
      <c r="J5" s="16">
        <v>27</v>
      </c>
    </row>
    <row r="6" spans="1:10" x14ac:dyDescent="0.2">
      <c r="A6" s="15" t="s">
        <v>22</v>
      </c>
      <c r="B6" s="16">
        <v>9</v>
      </c>
      <c r="C6" s="16">
        <v>0</v>
      </c>
      <c r="D6" s="16">
        <v>6</v>
      </c>
      <c r="E6" s="16">
        <v>0</v>
      </c>
      <c r="F6" s="16">
        <v>0</v>
      </c>
      <c r="G6" s="16">
        <v>1</v>
      </c>
      <c r="H6" s="16">
        <v>0</v>
      </c>
      <c r="I6" s="16">
        <v>0</v>
      </c>
      <c r="J6" s="16">
        <v>16</v>
      </c>
    </row>
    <row r="7" spans="1:10" x14ac:dyDescent="0.2">
      <c r="A7" s="15" t="s">
        <v>29</v>
      </c>
      <c r="B7" s="16">
        <v>2</v>
      </c>
      <c r="C7" s="16">
        <v>0</v>
      </c>
      <c r="D7" s="16">
        <v>4</v>
      </c>
      <c r="E7" s="16">
        <v>0</v>
      </c>
      <c r="F7" s="16">
        <v>0</v>
      </c>
      <c r="G7" s="16">
        <v>5</v>
      </c>
      <c r="H7" s="16">
        <v>0</v>
      </c>
      <c r="I7" s="16">
        <v>0</v>
      </c>
      <c r="J7" s="16">
        <v>11</v>
      </c>
    </row>
    <row r="8" spans="1:10" x14ac:dyDescent="0.2">
      <c r="A8" s="14" t="s">
        <v>36</v>
      </c>
      <c r="B8" s="16">
        <v>20</v>
      </c>
      <c r="C8" s="16">
        <v>11</v>
      </c>
      <c r="D8" s="16">
        <v>10</v>
      </c>
      <c r="E8" s="16">
        <v>0</v>
      </c>
      <c r="F8" s="16">
        <v>0</v>
      </c>
      <c r="G8" s="16">
        <v>4</v>
      </c>
      <c r="H8" s="16">
        <v>16</v>
      </c>
      <c r="I8" s="16">
        <v>0</v>
      </c>
      <c r="J8" s="16">
        <v>61</v>
      </c>
    </row>
    <row r="9" spans="1:10" x14ac:dyDescent="0.2">
      <c r="A9" s="15" t="s">
        <v>22</v>
      </c>
      <c r="B9" s="16">
        <v>17</v>
      </c>
      <c r="C9" s="16">
        <v>6</v>
      </c>
      <c r="D9" s="16">
        <v>1</v>
      </c>
      <c r="E9" s="16">
        <v>0</v>
      </c>
      <c r="F9" s="16">
        <v>0</v>
      </c>
      <c r="G9" s="16">
        <v>3</v>
      </c>
      <c r="H9" s="16">
        <v>10</v>
      </c>
      <c r="I9" s="16">
        <v>0</v>
      </c>
      <c r="J9" s="16">
        <v>37</v>
      </c>
    </row>
    <row r="10" spans="1:10" x14ac:dyDescent="0.2">
      <c r="A10" s="15" t="s">
        <v>29</v>
      </c>
      <c r="B10" s="16">
        <v>3</v>
      </c>
      <c r="C10" s="16">
        <v>5</v>
      </c>
      <c r="D10" s="16">
        <v>9</v>
      </c>
      <c r="E10" s="16">
        <v>0</v>
      </c>
      <c r="F10" s="16">
        <v>0</v>
      </c>
      <c r="G10" s="16">
        <v>1</v>
      </c>
      <c r="H10" s="16">
        <v>6</v>
      </c>
      <c r="I10" s="16">
        <v>0</v>
      </c>
      <c r="J10" s="16">
        <v>24</v>
      </c>
    </row>
    <row r="11" spans="1:10" x14ac:dyDescent="0.2">
      <c r="A11" s="14" t="s">
        <v>21</v>
      </c>
      <c r="B11" s="16">
        <v>32</v>
      </c>
      <c r="C11" s="16">
        <v>0</v>
      </c>
      <c r="D11" s="16">
        <v>0</v>
      </c>
      <c r="E11" s="16">
        <v>13</v>
      </c>
      <c r="F11" s="16">
        <v>2</v>
      </c>
      <c r="G11" s="16">
        <v>4</v>
      </c>
      <c r="H11" s="16">
        <v>47</v>
      </c>
      <c r="I11" s="16">
        <v>1</v>
      </c>
      <c r="J11" s="16">
        <v>99</v>
      </c>
    </row>
    <row r="12" spans="1:10" x14ac:dyDescent="0.2">
      <c r="A12" s="15" t="s">
        <v>22</v>
      </c>
      <c r="B12" s="16">
        <v>17</v>
      </c>
      <c r="C12" s="16">
        <v>0</v>
      </c>
      <c r="D12" s="16">
        <v>0</v>
      </c>
      <c r="E12" s="16">
        <v>8</v>
      </c>
      <c r="F12" s="16">
        <v>2</v>
      </c>
      <c r="G12" s="16">
        <v>1</v>
      </c>
      <c r="H12" s="16">
        <v>27</v>
      </c>
      <c r="I12" s="16">
        <v>0</v>
      </c>
      <c r="J12" s="16">
        <v>55</v>
      </c>
    </row>
    <row r="13" spans="1:10" x14ac:dyDescent="0.2">
      <c r="A13" s="15" t="s">
        <v>29</v>
      </c>
      <c r="B13" s="16">
        <v>15</v>
      </c>
      <c r="C13" s="16">
        <v>0</v>
      </c>
      <c r="D13" s="16">
        <v>0</v>
      </c>
      <c r="E13" s="16">
        <v>5</v>
      </c>
      <c r="F13" s="16">
        <v>0</v>
      </c>
      <c r="G13" s="16">
        <v>3</v>
      </c>
      <c r="H13" s="16">
        <v>20</v>
      </c>
      <c r="I13" s="16">
        <v>1</v>
      </c>
      <c r="J13" s="16">
        <v>44</v>
      </c>
    </row>
    <row r="14" spans="1:10" x14ac:dyDescent="0.2">
      <c r="A14" s="14" t="s">
        <v>170</v>
      </c>
      <c r="B14" s="16">
        <v>63</v>
      </c>
      <c r="C14" s="16">
        <v>11</v>
      </c>
      <c r="D14" s="16">
        <v>20</v>
      </c>
      <c r="E14" s="16">
        <v>13</v>
      </c>
      <c r="F14" s="16">
        <v>2</v>
      </c>
      <c r="G14" s="16">
        <v>14</v>
      </c>
      <c r="H14" s="16">
        <v>63</v>
      </c>
      <c r="I14" s="16">
        <v>1</v>
      </c>
      <c r="J14" s="16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A2" zoomScale="120" zoomScaleNormal="120" workbookViewId="0">
      <selection sqref="A1:S89"/>
    </sheetView>
  </sheetViews>
  <sheetFormatPr baseColWidth="10" defaultColWidth="8.83203125" defaultRowHeight="15" x14ac:dyDescent="0.2"/>
  <cols>
    <col min="1" max="1" width="15.5" customWidth="1"/>
    <col min="2" max="2" width="15.6640625" customWidth="1"/>
    <col min="4" max="4" width="10.1640625" bestFit="1" customWidth="1"/>
    <col min="6" max="6" width="16.5" customWidth="1"/>
    <col min="7" max="7" width="19.6640625" style="8" bestFit="1" customWidth="1"/>
    <col min="8" max="8" width="17.1640625" bestFit="1" customWidth="1"/>
    <col min="9" max="9" width="15.5" bestFit="1" customWidth="1"/>
    <col min="10" max="10" width="19.83203125" bestFit="1" customWidth="1"/>
    <col min="11" max="11" width="16.5" customWidth="1"/>
    <col min="12" max="12" width="14.83203125" bestFit="1" customWidth="1"/>
    <col min="13" max="13" width="25" bestFit="1" customWidth="1"/>
    <col min="14" max="14" width="15" customWidth="1"/>
    <col min="15" max="15" width="11.1640625" customWidth="1"/>
    <col min="16" max="16" width="11.5" customWidth="1"/>
    <col min="17" max="18" width="9.83203125" bestFit="1" customWidth="1"/>
    <col min="19" max="19" width="10.83203125" bestFit="1" customWidth="1"/>
  </cols>
  <sheetData>
    <row r="1" spans="1: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65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">
      <c r="A19" s="3" t="s">
        <v>66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">
      <c r="A20" s="3" t="s">
        <v>67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68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">
      <c r="A21" s="3" t="s">
        <v>69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71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75</v>
      </c>
      <c r="K24" t="s">
        <v>25</v>
      </c>
      <c r="L24" t="s">
        <v>26</v>
      </c>
      <c r="M24" s="5" t="s">
        <v>76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">
      <c r="A25" s="3" t="s">
        <v>77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78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">
      <c r="A26" s="3" t="s">
        <v>79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83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">
      <c r="A30" s="3" t="s">
        <v>84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85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">
      <c r="A31" s="3" t="s">
        <v>86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">
      <c r="A32" s="3" t="s">
        <v>87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88</v>
      </c>
      <c r="J32" t="s">
        <v>89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">
      <c r="A33" s="3" t="s">
        <v>90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65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">
      <c r="A37" s="3" t="s">
        <v>94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75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">
      <c r="A42" s="3" t="s">
        <v>99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">
      <c r="A44" s="3" t="s">
        <v>102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">
      <c r="A46" s="3" t="s">
        <v>104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75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">
      <c r="A49" s="3" t="s">
        <v>107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">
      <c r="A50" s="3" t="s">
        <v>108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88</v>
      </c>
      <c r="J52" t="s">
        <v>111</v>
      </c>
      <c r="K52" t="s">
        <v>25</v>
      </c>
      <c r="L52" t="s">
        <v>26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">
      <c r="A53" s="3" t="s">
        <v>113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">
      <c r="A56" s="3" t="s">
        <v>116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68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88</v>
      </c>
      <c r="J58" t="s">
        <v>119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">
      <c r="A59" s="3" t="s">
        <v>120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88</v>
      </c>
      <c r="J61" t="s">
        <v>89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">
      <c r="A63" s="3" t="s">
        <v>124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29</v>
      </c>
      <c r="I63" t="s">
        <v>88</v>
      </c>
      <c r="J63" t="s">
        <v>125</v>
      </c>
      <c r="K63" t="s">
        <v>25</v>
      </c>
      <c r="L63" t="s">
        <v>26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">
      <c r="A64" s="3" t="s">
        <v>126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75</v>
      </c>
      <c r="K64" t="s">
        <v>25</v>
      </c>
      <c r="L64" t="s">
        <v>26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">
      <c r="A65" s="3" t="s">
        <v>128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88</v>
      </c>
      <c r="J65" t="s">
        <v>89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71</v>
      </c>
      <c r="K66" t="s">
        <v>25</v>
      </c>
      <c r="L66" t="s">
        <v>26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">
      <c r="A67" s="3" t="s">
        <v>131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71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29</v>
      </c>
      <c r="I70" t="s">
        <v>37</v>
      </c>
      <c r="J70" t="s">
        <v>135</v>
      </c>
      <c r="K70" t="s">
        <v>25</v>
      </c>
      <c r="L70" t="s">
        <v>26</v>
      </c>
      <c r="M70" s="5" t="s">
        <v>83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">
      <c r="A71" s="3" t="s">
        <v>136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137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">
      <c r="A72" s="3" t="s">
        <v>138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">
      <c r="A73" s="3" t="s">
        <v>139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75</v>
      </c>
      <c r="K73" t="s">
        <v>25</v>
      </c>
      <c r="L73" t="s">
        <v>26</v>
      </c>
      <c r="M73" s="5" t="s">
        <v>76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59</v>
      </c>
      <c r="J75" t="s">
        <v>60</v>
      </c>
      <c r="K75" t="s">
        <v>25</v>
      </c>
      <c r="L75" t="s">
        <v>26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">
      <c r="A76" s="3" t="s">
        <v>143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75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">
      <c r="A78" s="3" t="s">
        <v>145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88</v>
      </c>
      <c r="J78" t="s">
        <v>146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">
      <c r="A79" s="3" t="s">
        <v>147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">
      <c r="A80" s="3" t="s">
        <v>148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68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88</v>
      </c>
      <c r="J83" t="s">
        <v>89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51</v>
      </c>
      <c r="J85" t="s">
        <v>137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">
      <c r="A86" s="3" t="s">
        <v>154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71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">
      <c r="A89" s="3" t="s">
        <v>157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F153-748F-844D-AE57-4B3B3FD6DBD7}">
  <dimension ref="A3:E11"/>
  <sheetViews>
    <sheetView zoomScale="207" workbookViewId="0">
      <selection activeCell="E14" sqref="E14"/>
    </sheetView>
  </sheetViews>
  <sheetFormatPr baseColWidth="10" defaultRowHeight="15" x14ac:dyDescent="0.2"/>
  <cols>
    <col min="1" max="1" width="16.1640625" bestFit="1" customWidth="1"/>
    <col min="2" max="2" width="14.83203125" bestFit="1" customWidth="1"/>
    <col min="3" max="3" width="7.33203125" bestFit="1" customWidth="1"/>
    <col min="4" max="4" width="11.33203125" bestFit="1" customWidth="1"/>
    <col min="5" max="5" width="10" bestFit="1" customWidth="1"/>
  </cols>
  <sheetData>
    <row r="3" spans="1:5" x14ac:dyDescent="0.2">
      <c r="A3" s="17" t="s">
        <v>173</v>
      </c>
      <c r="B3" s="17" t="s">
        <v>171</v>
      </c>
    </row>
    <row r="4" spans="1:5" x14ac:dyDescent="0.2">
      <c r="A4" s="17" t="s">
        <v>158</v>
      </c>
      <c r="B4" t="s">
        <v>162</v>
      </c>
      <c r="C4" t="s">
        <v>165</v>
      </c>
      <c r="D4" t="s">
        <v>163</v>
      </c>
      <c r="E4" t="s">
        <v>170</v>
      </c>
    </row>
    <row r="5" spans="1:5" x14ac:dyDescent="0.2">
      <c r="A5" s="8" t="s">
        <v>164</v>
      </c>
      <c r="B5" s="18">
        <v>700</v>
      </c>
      <c r="C5" s="18">
        <v>400</v>
      </c>
      <c r="D5" s="18">
        <v>0</v>
      </c>
      <c r="E5" s="18">
        <v>1100</v>
      </c>
    </row>
    <row r="6" spans="1:5" x14ac:dyDescent="0.2">
      <c r="A6" s="8" t="s">
        <v>168</v>
      </c>
      <c r="B6" s="18">
        <v>250</v>
      </c>
      <c r="C6" s="18">
        <v>300</v>
      </c>
      <c r="D6" s="18">
        <v>0</v>
      </c>
      <c r="E6" s="18">
        <v>550</v>
      </c>
    </row>
    <row r="7" spans="1:5" x14ac:dyDescent="0.2">
      <c r="A7" s="8" t="s">
        <v>167</v>
      </c>
      <c r="B7" s="18">
        <v>0</v>
      </c>
      <c r="C7" s="18">
        <v>800</v>
      </c>
      <c r="D7" s="18">
        <v>300</v>
      </c>
      <c r="E7" s="18">
        <v>1100</v>
      </c>
    </row>
    <row r="8" spans="1:5" x14ac:dyDescent="0.2">
      <c r="A8" s="8" t="s">
        <v>169</v>
      </c>
      <c r="B8" s="18">
        <v>400</v>
      </c>
      <c r="C8" s="18">
        <v>0</v>
      </c>
      <c r="D8" s="18">
        <v>600</v>
      </c>
      <c r="E8" s="18">
        <v>1000</v>
      </c>
    </row>
    <row r="9" spans="1:5" x14ac:dyDescent="0.2">
      <c r="A9" s="8" t="s">
        <v>166</v>
      </c>
      <c r="B9" s="18">
        <v>600</v>
      </c>
      <c r="C9" s="18">
        <v>0</v>
      </c>
      <c r="D9" s="18">
        <v>150</v>
      </c>
      <c r="E9" s="18">
        <v>750</v>
      </c>
    </row>
    <row r="10" spans="1:5" x14ac:dyDescent="0.2">
      <c r="A10" s="8" t="s">
        <v>161</v>
      </c>
      <c r="B10" s="18">
        <v>500</v>
      </c>
      <c r="C10" s="18">
        <v>0</v>
      </c>
      <c r="D10" s="18">
        <v>200</v>
      </c>
      <c r="E10" s="18">
        <v>700</v>
      </c>
    </row>
    <row r="11" spans="1:5" x14ac:dyDescent="0.2">
      <c r="A11" s="8" t="s">
        <v>170</v>
      </c>
      <c r="B11" s="18">
        <v>2450</v>
      </c>
      <c r="C11" s="18">
        <v>1500</v>
      </c>
      <c r="D11" s="18">
        <v>1250</v>
      </c>
      <c r="E11" s="18">
        <v>5200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D13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33.6640625" customWidth="1"/>
    <col min="2" max="2" width="24.5" customWidth="1"/>
    <col min="3" max="3" width="30.33203125" customWidth="1"/>
    <col min="4" max="4" width="27.5" customWidth="1"/>
    <col min="5" max="5" width="8.83203125" customWidth="1"/>
  </cols>
  <sheetData>
    <row r="1" spans="1:4" ht="18" thickBot="1" x14ac:dyDescent="0.25">
      <c r="A1" s="9" t="s">
        <v>158</v>
      </c>
      <c r="B1" s="9" t="s">
        <v>159</v>
      </c>
      <c r="C1" s="20" t="s">
        <v>160</v>
      </c>
      <c r="D1" s="19" t="s">
        <v>172</v>
      </c>
    </row>
    <row r="2" spans="1:4" ht="18" thickBot="1" x14ac:dyDescent="0.25">
      <c r="A2" s="10" t="s">
        <v>161</v>
      </c>
      <c r="B2" s="10" t="s">
        <v>162</v>
      </c>
      <c r="C2" s="11">
        <v>500</v>
      </c>
      <c r="D2" t="str" cm="1">
        <f t="array" ref="D2">_xlfn.SWITCH(TRUE,C2&gt;600,"HIGH",C2&gt;=300,"MEDIUM","LOW")</f>
        <v>MEDIUM</v>
      </c>
    </row>
    <row r="3" spans="1:4" ht="18" thickBot="1" x14ac:dyDescent="0.25">
      <c r="A3" s="10" t="s">
        <v>161</v>
      </c>
      <c r="B3" s="10" t="s">
        <v>163</v>
      </c>
      <c r="C3" s="11">
        <v>200</v>
      </c>
      <c r="D3" t="str" cm="1">
        <f t="array" ref="D3">_xlfn.SWITCH(TRUE,C3&gt;600,"HIGH",C3&gt;=300,"MEDIUM","LOW")</f>
        <v>LOW</v>
      </c>
    </row>
    <row r="4" spans="1:4" ht="18" thickBot="1" x14ac:dyDescent="0.25">
      <c r="A4" s="10" t="s">
        <v>164</v>
      </c>
      <c r="B4" s="10" t="s">
        <v>162</v>
      </c>
      <c r="C4" s="11">
        <v>700</v>
      </c>
      <c r="D4" t="str" cm="1">
        <f t="array" ref="D4">_xlfn.SWITCH(TRUE,C4&gt;600,"HIGH",C4&gt;=300,"MEDIUM","LOW")</f>
        <v>HIGH</v>
      </c>
    </row>
    <row r="5" spans="1:4" ht="18" thickBot="1" x14ac:dyDescent="0.25">
      <c r="A5" s="10" t="s">
        <v>164</v>
      </c>
      <c r="B5" s="10" t="s">
        <v>165</v>
      </c>
      <c r="C5" s="11">
        <v>400</v>
      </c>
      <c r="D5" t="str" cm="1">
        <f t="array" ref="D5">_xlfn.SWITCH(TRUE,C5&gt;600,"HIGH",C5&gt;=300,"MEDIUM","LOW")</f>
        <v>MEDIUM</v>
      </c>
    </row>
    <row r="6" spans="1:4" ht="18" thickBot="1" x14ac:dyDescent="0.25">
      <c r="A6" s="10" t="s">
        <v>166</v>
      </c>
      <c r="B6" s="10" t="s">
        <v>163</v>
      </c>
      <c r="C6" s="11">
        <v>150</v>
      </c>
      <c r="D6" t="str" cm="1">
        <f t="array" ref="D6">_xlfn.SWITCH(TRUE,C6&gt;600,"HIGH",C6&gt;=300,"MEDIUM","LOW")</f>
        <v>LOW</v>
      </c>
    </row>
    <row r="7" spans="1:4" ht="18" thickBot="1" x14ac:dyDescent="0.25">
      <c r="A7" s="10" t="s">
        <v>166</v>
      </c>
      <c r="B7" s="10" t="s">
        <v>162</v>
      </c>
      <c r="C7" s="11">
        <v>600</v>
      </c>
      <c r="D7" t="str" cm="1">
        <f t="array" ref="D7">_xlfn.SWITCH(TRUE,C7&gt;600,"HIGH",C7&gt;=300,"MEDIUM","LOW")</f>
        <v>MEDIUM</v>
      </c>
    </row>
    <row r="8" spans="1:4" ht="18" thickBot="1" x14ac:dyDescent="0.25">
      <c r="A8" s="10" t="s">
        <v>167</v>
      </c>
      <c r="B8" s="10" t="s">
        <v>165</v>
      </c>
      <c r="C8" s="11">
        <v>800</v>
      </c>
      <c r="D8" t="str" cm="1">
        <f t="array" ref="D8">_xlfn.SWITCH(TRUE,C8&gt;600,"HIGH",C8&gt;=300,"MEDIUM","LOW")</f>
        <v>HIGH</v>
      </c>
    </row>
    <row r="9" spans="1:4" ht="18" thickBot="1" x14ac:dyDescent="0.25">
      <c r="A9" s="10" t="s">
        <v>167</v>
      </c>
      <c r="B9" s="10" t="s">
        <v>163</v>
      </c>
      <c r="C9" s="11">
        <v>300</v>
      </c>
      <c r="D9" t="str" cm="1">
        <f t="array" ref="D9">_xlfn.SWITCH(TRUE,C9&gt;600,"HIGH",C9&gt;=300,"MEDIUM","LOW")</f>
        <v>MEDIUM</v>
      </c>
    </row>
    <row r="10" spans="1:4" ht="18" thickBot="1" x14ac:dyDescent="0.25">
      <c r="A10" s="10" t="s">
        <v>168</v>
      </c>
      <c r="B10" s="10" t="s">
        <v>162</v>
      </c>
      <c r="C10" s="11">
        <v>250</v>
      </c>
      <c r="D10" t="str" cm="1">
        <f t="array" ref="D10">_xlfn.SWITCH(TRUE,C10&gt;600,"HIGH",C10&gt;=300,"MEDIUM","LOW")</f>
        <v>LOW</v>
      </c>
    </row>
    <row r="11" spans="1:4" ht="18" thickBot="1" x14ac:dyDescent="0.25">
      <c r="A11" s="10" t="s">
        <v>168</v>
      </c>
      <c r="B11" s="10" t="s">
        <v>165</v>
      </c>
      <c r="C11" s="11">
        <v>300</v>
      </c>
      <c r="D11" t="str" cm="1">
        <f t="array" ref="D11">_xlfn.SWITCH(TRUE,C11&gt;600,"HIGH",C11&gt;=300,"MEDIUM","LOW")</f>
        <v>MEDIUM</v>
      </c>
    </row>
    <row r="12" spans="1:4" ht="18" thickBot="1" x14ac:dyDescent="0.25">
      <c r="A12" s="10" t="s">
        <v>169</v>
      </c>
      <c r="B12" s="10" t="s">
        <v>163</v>
      </c>
      <c r="C12" s="11">
        <v>600</v>
      </c>
      <c r="D12" t="str" cm="1">
        <f t="array" ref="D12">_xlfn.SWITCH(TRUE,C12&gt;600,"HIGH",C12&gt;=300,"MEDIUM","LOW")</f>
        <v>MEDIUM</v>
      </c>
    </row>
    <row r="13" spans="1:4" ht="18" thickBot="1" x14ac:dyDescent="0.25">
      <c r="A13" s="10" t="s">
        <v>169</v>
      </c>
      <c r="B13" s="10" t="s">
        <v>162</v>
      </c>
      <c r="C13" s="11">
        <v>400</v>
      </c>
      <c r="D13" t="str" cm="1">
        <f t="array" ref="D13">_xlfn.SWITCH(TRUE,C13&gt;600,"HIGH",C13&gt;=300,"MEDIUM","LOW")</f>
        <v>MEDIUM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478E7A3-2510-4C53-8BEC-FC7EE7935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Sheet1</vt:lpstr>
      <vt:lpstr>Bike Sales</vt:lpstr>
      <vt:lpstr>Sheet3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Tami Okono</cp:lastModifiedBy>
  <cp:revision/>
  <dcterms:created xsi:type="dcterms:W3CDTF">2022-11-04T20:14:11Z</dcterms:created>
  <dcterms:modified xsi:type="dcterms:W3CDTF">2026-07-17T13:19:58Z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